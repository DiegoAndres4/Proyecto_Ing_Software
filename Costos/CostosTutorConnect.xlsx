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is Costo-Beneficio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<sst xmlns="http://schemas.openxmlformats.org/spreadsheetml/2006/main" count="152" uniqueCount="135">
  <si>
    <t xml:space="preserve">Análisis Costo-Beneficio — TutorConnect</t>
  </si>
  <si>
    <t xml:space="preserve">Proyecto: TutorConnect — Plataforma Web de Tutorías Universitarias</t>
  </si>
  <si>
    <t xml:space="preserve">Gerente de Proyecto:</t>
  </si>
  <si>
    <t xml:space="preserve">Diego Andrés Becerra Bonilla</t>
  </si>
  <si>
    <t xml:space="preserve">PARTE 1 — Identificación y Clasificación de Costos</t>
  </si>
  <si>
    <t xml:space="preserve">Elemento</t>
  </si>
  <si>
    <t xml:space="preserve">Clasificación</t>
  </si>
  <si>
    <t xml:space="preserve">Descripción / Justificación</t>
  </si>
  <si>
    <t xml:space="preserve">a) Salarios de desarrolladores y equipo</t>
  </si>
  <si>
    <t xml:space="preserve">Costo Directo</t>
  </si>
  <si>
    <t xml:space="preserve">Recurso humano principal del proyecto; asociado directamente al desarrollo del MVP académico.</t>
  </si>
  <si>
    <t xml:space="preserve">b) Servicio de internet y conectividad</t>
  </si>
  <si>
    <t xml:space="preserve">Costo Indirecto</t>
  </si>
  <si>
    <t xml:space="preserve">Infraestructura compartida; no es exclusiva del proyecto TutorConnect.</t>
  </si>
  <si>
    <t xml:space="preserve">c) Hosting y servicios cloud (Docker, servidor)</t>
  </si>
  <si>
    <t xml:space="preserve">Costo de Operación</t>
  </si>
  <si>
    <t xml:space="preserve">Gasto recurrente una vez la plataforma esté desplegada en producción.</t>
  </si>
  <si>
    <t xml:space="preserve">d) Corrección de errores post-entrega</t>
  </si>
  <si>
    <t xml:space="preserve">Costo de Mantenimiento</t>
  </si>
  <si>
    <t xml:space="preserve">Ocurre después de la entrega; garantiza la calidad continua del sistema.</t>
  </si>
  <si>
    <t xml:space="preserve">e) Licencias y herramientas de desarrollo</t>
  </si>
  <si>
    <t xml:space="preserve">IDE, repositorio Git, herramientas de análisis estático y despliegue.</t>
  </si>
  <si>
    <t xml:space="preserve">PARTE 2 — Estimación del Costo del Proyecto (16 semanas / 4 meses)</t>
  </si>
  <si>
    <t xml:space="preserve">Recurso / Concepto</t>
  </si>
  <si>
    <t xml:space="preserve">Cantidad</t>
  </si>
  <si>
    <t xml:space="preserve">Costo Mensual (COP)</t>
  </si>
  <si>
    <t xml:space="preserve">Mes 1</t>
  </si>
  <si>
    <t xml:space="preserve">Mes 2</t>
  </si>
  <si>
    <t xml:space="preserve">Mes 3</t>
  </si>
  <si>
    <t xml:space="preserve">Mes 4</t>
  </si>
  <si>
    <t xml:space="preserve">Total (COP)</t>
  </si>
  <si>
    <t xml:space="preserve">Analistas / Scrum Master</t>
  </si>
  <si>
    <t xml:space="preserve">Desarrolladores Backend</t>
  </si>
  <si>
    <t xml:space="preserve">Desarrolladores Frontend</t>
  </si>
  <si>
    <t xml:space="preserve">Tester / QA</t>
  </si>
  <si>
    <t xml:space="preserve">Total Personal</t>
  </si>
  <si>
    <t xml:space="preserve">Servicio SMTP / correo (12 meses)</t>
  </si>
  <si>
    <t xml:space="preserve">Hosting y servidor cloud (12 meses)</t>
  </si>
  <si>
    <t xml:space="preserve">Dominio y certificado SSL</t>
  </si>
  <si>
    <t xml:space="preserve">Licencias de herramientas (GitHub, SonarQube)</t>
  </si>
  <si>
    <t xml:space="preserve">Equipos / Hardware (uso del equipo)</t>
  </si>
  <si>
    <t xml:space="preserve">Contingencia (10% del total personal)</t>
  </si>
  <si>
    <t xml:space="preserve">COSTO TOTAL DEL PROYECTO</t>
  </si>
  <si>
    <t xml:space="preserve">PARTE 3 — Análisis Costo-Beneficio (Proyección 5 Años)</t>
  </si>
  <si>
    <t xml:space="preserve">Concepto</t>
  </si>
  <si>
    <t xml:space="preserve">Valor (COP)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</si>
  <si>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</si>
  <si>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</si>
  <si>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</si>
  <si>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</si>
  <si>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</si>
  <si>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Total 5 Años</t>
  </si>
  <si>
    <t xml:space="preserve">Inversión Total (Costo del Proyecto)</t>
  </si>
  <si>
    <t xml:space="preserve">Beneficio Bruto Anual Estimado</t>
  </si>
  <si>
    <t xml:space="preserve">Beneficio Neto Anual</t>
  </si>
  <si>
    <t xml:space="preserve">PARTE 4 — Indicadores Económicos</t>
  </si>
  <si>
    <t xml:space="preserve">Indicador</t>
  </si>
  <si>
    <t xml:space="preserve">Fórmula</t>
  </si>
  <si>
    <t xml:space="preserve">Valor Calculado</t>
  </si>
  <si>
    <t xml:space="preserve">Interpretación</t>
  </si>
  <si>
    <t xml:space="preserve">ROI (Retorno sobre Inversión)</t>
  </si>
  <si>
    <t xml:space="preserve">(Beneficio 5A − Inversión) / Inversión × 100</t>
  </si>
  <si>
    <t xml:space="preserve">ROI positivo a partir del año 2. En 5 años el proyecto genera un retorno significativo sobre la inversión académica inicial.</t>
  </si>
  <si>
    <t xml:space="preserve">Payback (Período de Recuperación)</t>
  </si>
  <si>
    <t xml:space="preserve">Inversión / Beneficio Anual</t>
  </si>
  <si>
    <t xml:space="preserve">La inversión se recupera en aproximadamente 1.5 años desde el inicio de operación del sistema TutorConnect.</t>
  </si>
  <si>
    <t xml:space="preserve">Beneficio Neto Acumulado (5 años)</t>
  </si>
  <si>
    <t xml:space="preserve">Σ Beneficios − Inversión Total</t>
  </si>
  <si>
    <t xml:space="preserve">En 5 años el beneficio neto acumulado supera ampliamente la inversión inicial del proyecto universitario.</t>
  </si>
  <si>
    <t xml:space="preserve">PARTE 5 — Toma de Decisiones</t>
  </si>
  <si>
    <t xml:space="preserve">Pregunta</t>
  </si>
  <si>
    <t xml:space="preserve">Respuesta</t>
  </si>
  <si>
    <t xml:space="preserve">Riesgo más crítico</t>
  </si>
  <si>
    <t xml:space="preserve">Abandono de un integrante clave del equipo de desarrollo: detiene el avance, eleva los costos y compromete los plazos de la entrega académica. Es el más difícil de mitigar en el corto plazo, ya que el conocimiento técnico del sistema TutorConnect está concentrado en personas específicas.</t>
  </si>
  <si>
    <t xml:space="preserve">Beneficios tangibles (2)</t>
  </si>
  <si>
    <t xml:space="preserve">1) Reducción del tiempo invertido en coordinar tutorías (elimina procesos manuales via WhatsApp o tablones físicos). 2) Disminución de incidencias por agendamientos duplicados o sin respuesta, reduciendo la deserción en el uso de tutorías académicas.</t>
  </si>
  <si>
    <t xml:space="preserve">Beneficios intangibles (2)</t>
  </si>
  <si>
    <t xml:space="preserve">1) Mejora de la imagen institucional de la universidad al contar con una plataforma digital moderna de apoyo académico. 2) Mayor satisfacción y motivación de los estudiantes al tener acceso fácil y rápido a tutores especializados en sus asignaturas.</t>
  </si>
  <si>
    <t xml:space="preserve">Alternativa SaaS ($150.000/mes)</t>
  </si>
  <si>
    <t xml:space="preserve">Sí se evalúa como alternativa. Costo anual SaaS: ~$1.8M COP/año. En 5 años el desarrollo propio resulta significativamente más económico y permite mayor personalización al contexto universitario. La solución SaaS implicaría dependencia del proveedor y limitaciones para adaptarse a los requerimientos académicos específicos del proyecto.</t>
  </si>
  <si>
    <t xml:space="preserve">DASHBOARD — Proyección Financiera del Proyecto TutorConnect</t>
  </si>
  <si>
    <t xml:space="preserve">Resumen Ejecutivo del Análisis Económico</t>
  </si>
  <si>
    <t xml:space="preserve">Inversión Total (COP)</t>
  </si>
  <si>
    <t xml:space="preserve">Beneficio Anual (COP)</t>
  </si>
  <si>
    <t xml:space="preserve">ROI (5 Años) (%)</t>
  </si>
  <si>
    <t xml:space="preserve">Payback (años)</t>
  </si>
  <si>
    <t xml:space="preserve">Proyección de Beneficio Neto Acumulado — 5 Años</t>
  </si>
  <si>
    <t xml:space="preserve">Total</t>
  </si>
  <si>
    <t xml:space="preserve">Notas</t>
  </si>
  <si>
    <t xml:space="preserve">Inversión / Egreso</t>
  </si>
  <si>
    <t xml:space="preserve">0</t>
  </si>
  <si>
    <t xml:space="preserve">Inversión única en el año inicial</t>
  </si>
  <si>
    <t xml:space="preserve">Beneficio Bruto Anual</t>
  </si>
  <si>
    <t xml:space="preserve">Ahorro institucional estimado anual</t>
  </si>
  <si>
    <t xml:space="preserve">Beneficio anual menos la inversión</t>
  </si>
  <si>
    <t xml:space="preserve">Beneficio Acumulado</t>
  </si>
  <si>
    <t xml:space="preserve">Suma acumulada del beneficio neto</t>
  </si>
  <si>
    <t xml:space="preserve">Comparativa: Desarrollo Propio vs. Solución SaaS ($150.000/mes)</t>
  </si>
  <si>
    <t xml:space="preserve">Escenario</t>
  </si>
  <si>
    <t xml:space="preserve">Costo Total 5A</t>
  </si>
  <si>
    <t xml:space="preserve">Diferencia</t>
  </si>
  <si>
    <t xml:space="preserve">Desarrollo Propio</t>
  </si>
  <si>
    <t xml:space="preserve">Solución SaaS ($150.000/mes)</t>
  </si>
  <si>
    <t xml:space="preserve">Ahorro al elegir Desarrollo Propio vs SaaS en 5 años:</t>
  </si>
  <si>
    <t xml:space="preserve">SaaS cuesta más en 5 años</t>
  </si>
  <si>
    <t xml:space="preserve">Gestión de Riesgos Identificados</t>
  </si>
  <si>
    <t xml:space="preserve">#</t>
  </si>
  <si>
    <t xml:space="preserve">Riesgo</t>
  </si>
  <si>
    <t xml:space="preserve">Nivel</t>
  </si>
  <si>
    <t xml:space="preserve">Impacto</t>
  </si>
  <si>
    <t xml:space="preserve">Estrategia de Mitigación</t>
  </si>
  <si>
    <t xml:space="preserve">1</t>
  </si>
  <si>
    <t xml:space="preserve">Cambios frecuentes de requisitos académicos</t>
  </si>
  <si>
    <t xml:space="preserve">ALTO</t>
  </si>
  <si>
    <t xml:space="preserve">Retrasos y sobrecostos</t>
  </si>
  <si>
    <t xml:space="preserve">Aplicar Scrum; definir proceso formal de gestión de cambios con aprobación del docente y del equipo.</t>
  </si>
  <si>
    <t xml:space="preserve">2</t>
  </si>
  <si>
    <t xml:space="preserve">Retrasos en el desarrollo del MVP</t>
  </si>
  <si>
    <t xml:space="preserve">MEDIO</t>
  </si>
  <si>
    <t xml:space="preserve">Incumplimiento de plazos</t>
  </si>
  <si>
    <t xml:space="preserve">Seguimiento semanal con tablero Kanban; identificar cuellos de botella en los daily stand-ups.</t>
  </si>
  <si>
    <t xml:space="preserve">3</t>
  </si>
  <si>
    <t xml:space="preserve">Abandono de un integrante clave</t>
  </si>
  <si>
    <t xml:space="preserve">CRÍTICO</t>
  </si>
  <si>
    <t xml:space="preserve">Paralización del proyecto</t>
  </si>
  <si>
    <t xml:space="preserve">Documentar código continuamente; fomentar pair programming y transferencia de conocimiento entre todos los miembros.</t>
  </si>
  <si>
    <t xml:space="preserve">4</t>
  </si>
  <si>
    <t xml:space="preserve">Vulnerabilidades de seguridad</t>
  </si>
  <si>
    <t xml:space="preserve">Exposición de datos de usuarios</t>
  </si>
  <si>
    <t xml:space="preserve">Ejecutar npm audit en cada sprint; revisión de seguridad en la semana 12 antes del release final.</t>
  </si>
  <si>
    <t xml:space="preserve">5</t>
  </si>
  <si>
    <t xml:space="preserve">Fallo del servicio SMTP en producción</t>
  </si>
  <si>
    <t xml:space="preserve">BAJO</t>
  </si>
  <si>
    <t xml:space="preserve">Pérdida de notificaciones</t>
  </si>
  <si>
    <t xml:space="preserve">Implementar cola de reintentos; monitorear cuota del proveedor SMTP; tener proveedor alternativo identificado.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</si>
</sst>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0.0%"/>
    <numFmt numFmtId="168" formatCode="0.0&quot; años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Times New Roman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5"/>
      <color rgb="FFFFFFFF"/>
      <name val="Times New Roman"/>
      <family val="0"/>
      <charset val="1"/>
    </font>
    <font>
      <sz val="11"/>
      <color rgb="FF1F4E7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EEAF1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7" min="4" style="0" width="16"/>
    <col collapsed="false" customWidth="true" hidden="false" outlineLevel="0" max="8" min="8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3" t="s">
        <v>2</v>
      </c>
      <c r="F2" s="4" t="s">
        <v>3</v>
      </c>
      <c r="G2" s="4"/>
      <c r="H2" s="4"/>
    </row>
    <row r="3" customFormat="false" ht="7.5" hidden="false" customHeight="true" outlineLevel="0" collapsed="false"/>
    <row r="4" customFormat="false" ht="15" hidden="false" customHeight="false" outlineLevel="0" collapsed="false">
      <c r="A4" s="5" t="s">
        <v>4</v>
      </c>
      <c r="B4" s="5"/>
      <c r="C4" s="5"/>
      <c r="D4" s="5"/>
      <c r="E4" s="5"/>
      <c r="F4" s="5"/>
      <c r="G4" s="5"/>
    </row>
    <row r="5" customFormat="false" ht="18" hidden="false" customHeight="true" outlineLevel="0" collapsed="false">
      <c r="A5" s="6" t="s">
        <v>5</v>
      </c>
      <c r="B5" s="6" t="s">
        <v>6</v>
      </c>
      <c r="C5" s="6" t="s">
        <v>7</v>
      </c>
    </row>
    <row r="6" customFormat="false" ht="27.75" hidden="false" customHeight="true" outlineLevel="0" collapsed="false">
      <c r="A6" s="7" t="s">
        <v>8</v>
      </c>
      <c r="B6" s="8" t="s">
        <v>9</v>
      </c>
      <c r="C6" s="7" t="s">
        <v>10</v>
      </c>
    </row>
    <row r="7" customFormat="false" ht="27.75" hidden="false" customHeight="true" outlineLevel="0" collapsed="false">
      <c r="A7" s="9" t="s">
        <v>11</v>
      </c>
      <c r="B7" s="10" t="s">
        <v>12</v>
      </c>
      <c r="C7" s="9" t="s">
        <v>13</v>
      </c>
    </row>
    <row r="8" customFormat="false" ht="27.75" hidden="false" customHeight="true" outlineLevel="0" collapsed="false">
      <c r="A8" s="7" t="s">
        <v>14</v>
      </c>
      <c r="B8" s="11" t="s">
        <v>15</v>
      </c>
      <c r="C8" s="7" t="s">
        <v>16</v>
      </c>
    </row>
    <row r="9" customFormat="false" ht="27.75" hidden="false" customHeight="true" outlineLevel="0" collapsed="false">
      <c r="A9" s="9" t="s">
        <v>17</v>
      </c>
      <c r="B9" s="12" t="s">
        <v>18</v>
      </c>
      <c r="C9" s="9" t="s">
        <v>19</v>
      </c>
    </row>
    <row r="10" customFormat="false" ht="27.75" hidden="false" customHeight="true" outlineLevel="0" collapsed="false">
      <c r="A10" s="7" t="s">
        <v>20</v>
      </c>
      <c r="B10" s="8" t="s">
        <v>9</v>
      </c>
      <c r="C10" s="7" t="s">
        <v>21</v>
      </c>
    </row>
    <row r="12" customFormat="false" ht="15" hidden="false" customHeight="false" outlineLevel="0" collapsed="false">
      <c r="A12" s="5" t="s">
        <v>22</v>
      </c>
      <c r="B12" s="5"/>
      <c r="C12" s="5"/>
      <c r="D12" s="5"/>
      <c r="E12" s="5"/>
      <c r="F12" s="5"/>
      <c r="G12" s="5"/>
      <c r="H12" s="5"/>
    </row>
    <row r="13" customFormat="false" ht="18" hidden="false" customHeight="true" outlineLevel="0" collapsed="false">
      <c r="A13" s="13" t="s">
        <v>23</v>
      </c>
      <c r="B13" s="13" t="s">
        <v>24</v>
      </c>
      <c r="C13" s="13" t="s">
        <v>25</v>
      </c>
      <c r="D13" s="13" t="s">
        <v>26</v>
      </c>
      <c r="E13" s="13" t="s">
        <v>27</v>
      </c>
      <c r="F13" s="13" t="s">
        <v>28</v>
      </c>
      <c r="G13" s="13" t="s">
        <v>29</v>
      </c>
      <c r="H13" s="13" t="s">
        <v>30</v>
      </c>
    </row>
    <row r="14" customFormat="false" ht="18" hidden="false" customHeight="true" outlineLevel="0" collapsed="false">
      <c r="A14" s="14" t="s">
        <v>31</v>
      </c>
      <c r="B14" s="15" t="n">
        <v>1</v>
      </c>
      <c r="C14" s="16" t="n">
        <v>1500000</v>
      </c>
      <c r="D14" s="17" t="n">
        <f aca="false">B14*C14</f>
        <v>1500000</v>
      </c>
      <c r="E14" s="17" t="n">
        <f aca="false">B14*C14</f>
        <v>1500000</v>
      </c>
      <c r="F14" s="17" t="n">
        <f aca="false">B14*C14</f>
        <v>1500000</v>
      </c>
      <c r="G14" s="17" t="n">
        <f aca="false">B14*C14</f>
        <v>1500000</v>
      </c>
      <c r="H14" s="18" t="n">
        <f aca="false">SUM(D14:G14)</f>
        <v>6000000</v>
      </c>
    </row>
    <row r="15" customFormat="false" ht="18" hidden="false" customHeight="true" outlineLevel="0" collapsed="false">
      <c r="A15" s="19" t="s">
        <v>32</v>
      </c>
      <c r="B15" s="20" t="n">
        <v>2</v>
      </c>
      <c r="C15" s="21" t="n">
        <v>2000000</v>
      </c>
      <c r="D15" s="22" t="n">
        <f aca="false">B15*C15</f>
        <v>4000000</v>
      </c>
      <c r="E15" s="22" t="n">
        <f aca="false">B15*C15</f>
        <v>4000000</v>
      </c>
      <c r="F15" s="22" t="n">
        <f aca="false">B15*C15</f>
        <v>4000000</v>
      </c>
      <c r="G15" s="22" t="n">
        <f aca="false">B15*C15</f>
        <v>4000000</v>
      </c>
      <c r="H15" s="23" t="n">
        <f aca="false">SUM(D15:G15)</f>
        <v>16000000</v>
      </c>
    </row>
    <row r="16" customFormat="false" ht="18" hidden="false" customHeight="true" outlineLevel="0" collapsed="false">
      <c r="A16" s="14" t="s">
        <v>33</v>
      </c>
      <c r="B16" s="15" t="n">
        <v>2</v>
      </c>
      <c r="C16" s="16" t="n">
        <v>2000000</v>
      </c>
      <c r="D16" s="17" t="n">
        <f aca="false">B16*C16</f>
        <v>4000000</v>
      </c>
      <c r="E16" s="17" t="n">
        <f aca="false">B16*C16</f>
        <v>4000000</v>
      </c>
      <c r="F16" s="17" t="n">
        <f aca="false">B16*C16</f>
        <v>4000000</v>
      </c>
      <c r="G16" s="17" t="n">
        <f aca="false">B16*C16</f>
        <v>4000000</v>
      </c>
      <c r="H16" s="18" t="n">
        <f aca="false">SUM(D16:G16)</f>
        <v>16000000</v>
      </c>
    </row>
    <row r="17" customFormat="false" ht="18" hidden="false" customHeight="true" outlineLevel="0" collapsed="false">
      <c r="A17" s="19" t="s">
        <v>34</v>
      </c>
      <c r="B17" s="20" t="n">
        <v>1</v>
      </c>
      <c r="C17" s="21" t="n">
        <v>1500000</v>
      </c>
      <c r="D17" s="22" t="n">
        <f aca="false">B17*C17</f>
        <v>1500000</v>
      </c>
      <c r="E17" s="22" t="n">
        <f aca="false">B17*C17</f>
        <v>1500000</v>
      </c>
      <c r="F17" s="22" t="n">
        <f aca="false">B17*C17</f>
        <v>1500000</v>
      </c>
      <c r="G17" s="22" t="n">
        <f aca="false">B17*C17</f>
        <v>1500000</v>
      </c>
      <c r="H17" s="23" t="n">
        <f aca="false">SUM(D17:G17)</f>
        <v>6000000</v>
      </c>
    </row>
    <row r="18" customFormat="false" ht="18" hidden="false" customHeight="true" outlineLevel="0" collapsed="false">
      <c r="A18" s="24" t="s">
        <v>35</v>
      </c>
      <c r="B18" s="24"/>
      <c r="C18" s="24"/>
      <c r="D18" s="25" t="n">
        <f aca="false">SUM(D14:D17)</f>
        <v>11000000</v>
      </c>
      <c r="E18" s="25" t="n">
        <f aca="false">SUM(E14:E17)</f>
        <v>11000000</v>
      </c>
      <c r="F18" s="25" t="n">
        <f aca="false">SUM(F14:F17)</f>
        <v>11000000</v>
      </c>
      <c r="G18" s="25" t="n">
        <f aca="false">SUM(G14:G17)</f>
        <v>11000000</v>
      </c>
      <c r="H18" s="25" t="n">
        <f aca="false">SUM(H14:H17)</f>
        <v>44000000</v>
      </c>
    </row>
    <row r="19" customFormat="false" ht="18" hidden="false" customHeight="true" outlineLevel="0" collapsed="false">
      <c r="A19" s="14" t="s">
        <v>36</v>
      </c>
      <c r="B19" s="14"/>
      <c r="C19" s="14"/>
      <c r="D19" s="14"/>
      <c r="E19" s="14"/>
      <c r="F19" s="14"/>
      <c r="G19" s="14"/>
      <c r="H19" s="16" t="n">
        <v>1440000</v>
      </c>
    </row>
    <row r="20" customFormat="false" ht="18" hidden="false" customHeight="true" outlineLevel="0" collapsed="false">
      <c r="A20" s="19" t="s">
        <v>37</v>
      </c>
      <c r="B20" s="19"/>
      <c r="C20" s="19"/>
      <c r="D20" s="19"/>
      <c r="E20" s="19"/>
      <c r="F20" s="19"/>
      <c r="G20" s="19"/>
      <c r="H20" s="21" t="n">
        <v>7200000</v>
      </c>
    </row>
    <row r="21" customFormat="false" ht="18" hidden="false" customHeight="true" outlineLevel="0" collapsed="false">
      <c r="A21" s="14" t="s">
        <v>38</v>
      </c>
      <c r="B21" s="14"/>
      <c r="C21" s="14"/>
      <c r="D21" s="14"/>
      <c r="E21" s="14"/>
      <c r="F21" s="14"/>
      <c r="G21" s="14"/>
      <c r="H21" s="16" t="n">
        <v>180000</v>
      </c>
    </row>
    <row r="22" customFormat="false" ht="18" hidden="false" customHeight="true" outlineLevel="0" collapsed="false">
      <c r="A22" s="19" t="s">
        <v>39</v>
      </c>
      <c r="B22" s="19"/>
      <c r="C22" s="19"/>
      <c r="D22" s="19"/>
      <c r="E22" s="19"/>
      <c r="F22" s="19"/>
      <c r="G22" s="19"/>
      <c r="H22" s="21" t="n">
        <v>0</v>
      </c>
    </row>
    <row r="23" customFormat="false" ht="18" hidden="false" customHeight="true" outlineLevel="0" collapsed="false">
      <c r="A23" s="14" t="s">
        <v>40</v>
      </c>
      <c r="B23" s="14"/>
      <c r="C23" s="14"/>
      <c r="D23" s="14"/>
      <c r="E23" s="14"/>
      <c r="F23" s="14"/>
      <c r="G23" s="14"/>
      <c r="H23" s="16" t="n">
        <v>0</v>
      </c>
    </row>
    <row r="24" customFormat="false" ht="18" hidden="false" customHeight="true" outlineLevel="0" collapsed="false">
      <c r="A24" s="19" t="s">
        <v>41</v>
      </c>
      <c r="B24" s="19"/>
      <c r="C24" s="19"/>
      <c r="D24" s="19"/>
      <c r="E24" s="19"/>
      <c r="F24" s="19"/>
      <c r="G24" s="19"/>
      <c r="H24" s="23" t="n">
        <f aca="false">H18*0.1</f>
        <v>4400000</v>
      </c>
    </row>
    <row r="25" customFormat="false" ht="21.75" hidden="false" customHeight="true" outlineLevel="0" collapsed="false">
      <c r="A25" s="26" t="s">
        <v>42</v>
      </c>
      <c r="B25" s="26"/>
      <c r="C25" s="26"/>
      <c r="D25" s="26"/>
      <c r="E25" s="26"/>
      <c r="F25" s="26"/>
      <c r="G25" s="26"/>
      <c r="H25" s="27" t="n">
        <f aca="false">H18+SUM(H19:H24)</f>
        <v>57220000</v>
      </c>
    </row>
    <row r="27" customFormat="false" ht="15" hidden="false" customHeight="false" outlineLevel="0" collapsed="false">
      <c r="A27" s="5" t="s">
        <v>43</v>
      </c>
      <c r="B27" s="5"/>
      <c r="C27" s="5"/>
      <c r="D27" s="5"/>
      <c r="E27" s="5"/>
      <c r="F27" s="5"/>
      <c r="G27" s="5"/>
      <c r="H27" s="5"/>
    </row>
    <row r="28" customFormat="false" ht="18" hidden="false" customHeight="true" outlineLevel="0" collapsed="false">
      <c r="A28" s="13" t="s">
        <v>44</v>
      </c>
      <c r="B28" s="13" t="s">
        <v>45</v>
      </c>
      <c r="C28" s="13" t="s">
        <v>46</v>
      </c>
      <c r="D28" s="13" t="s">
        <v>47</v>
      </c>
      <c r="E28" s="13" t="s">
        <v>48</v>
      </c>
      <c r="F28" s="13" t="s">
        <v>49</v>
      </c>
      <c r="G28" s="13" t="s">
        <v>50</v>
      </c>
      <c r="H28" s="13" t="s">
        <v>51</v>
      </c>
    </row>
    <row r="29" customFormat="false" ht="18" hidden="false" customHeight="true" outlineLevel="0" collapsed="false">
      <c r="A29" s="28" t="s">
        <v>52</v>
      </c>
      <c r="B29" s="29" t="n">
        <f aca="false">H25</f>
        <v>57220000</v>
      </c>
      <c r="C29" s="30" t="n">
        <f aca="false">H25</f>
        <v>57220000</v>
      </c>
      <c r="D29" s="30" t="n">
        <v>0</v>
      </c>
      <c r="E29" s="30" t="n">
        <v>0</v>
      </c>
      <c r="F29" s="30" t="n">
        <v>0</v>
      </c>
      <c r="G29" s="30" t="n">
        <v>0</v>
      </c>
      <c r="H29" s="29" t="n">
        <f aca="false">H25</f>
        <v>57220000</v>
      </c>
    </row>
    <row r="30" customFormat="false" ht="18" hidden="false" customHeight="true" outlineLevel="0" collapsed="false">
      <c r="A30" s="31" t="s">
        <v>53</v>
      </c>
      <c r="B30" s="32" t="n">
        <v>22200000</v>
      </c>
      <c r="C30" s="33" t="n">
        <f aca="false">$B30</f>
        <v>22200000</v>
      </c>
      <c r="D30" s="33" t="n">
        <f aca="false">$B30</f>
        <v>22200000</v>
      </c>
      <c r="E30" s="33" t="n">
        <f aca="false">$B30</f>
        <v>22200000</v>
      </c>
      <c r="F30" s="33" t="n">
        <f aca="false">$B30</f>
        <v>22200000</v>
      </c>
      <c r="G30" s="33" t="n">
        <f aca="false">$B30</f>
        <v>22200000</v>
      </c>
      <c r="H30" s="34" t="n">
        <f aca="false">SUM(C30:G30)</f>
        <v>111000000</v>
      </c>
    </row>
    <row r="31" customFormat="false" ht="18" hidden="false" customHeight="true" outlineLevel="0" collapsed="false">
      <c r="A31" s="35" t="s">
        <v>54</v>
      </c>
      <c r="B31" s="36" t="n">
        <v>0</v>
      </c>
      <c r="C31" s="36" t="n">
        <f aca="false">C30-C29</f>
        <v>-35020000</v>
      </c>
      <c r="D31" s="36" t="n">
        <f aca="false">D30</f>
        <v>22200000</v>
      </c>
      <c r="E31" s="36" t="n">
        <f aca="false">E30</f>
        <v>22200000</v>
      </c>
      <c r="F31" s="36" t="n">
        <f aca="false">F30</f>
        <v>22200000</v>
      </c>
      <c r="G31" s="36" t="n">
        <f aca="false">G30</f>
        <v>22200000</v>
      </c>
      <c r="H31" s="37" t="n">
        <f aca="false">SUM(C31:G31)</f>
        <v>53780000</v>
      </c>
    </row>
    <row r="33" customFormat="false" ht="15" hidden="false" customHeight="false" outlineLevel="0" collapsed="false">
      <c r="A33" s="5" t="s">
        <v>55</v>
      </c>
      <c r="B33" s="5"/>
      <c r="C33" s="5"/>
      <c r="D33" s="5"/>
      <c r="E33" s="5"/>
      <c r="F33" s="5"/>
      <c r="G33" s="5"/>
      <c r="H33" s="5"/>
    </row>
    <row r="34" customFormat="false" ht="18" hidden="false" customHeight="true" outlineLevel="0" collapsed="false">
      <c r="A34" s="13" t="s">
        <v>56</v>
      </c>
      <c r="B34" s="13" t="s">
        <v>57</v>
      </c>
      <c r="C34" s="13" t="s">
        <v>58</v>
      </c>
      <c r="D34" s="13" t="s">
        <v>59</v>
      </c>
      <c r="E34" s="13"/>
      <c r="F34" s="13"/>
      <c r="G34" s="13"/>
      <c r="H34" s="13"/>
    </row>
    <row r="35" customFormat="false" ht="39.75" hidden="false" customHeight="true" outlineLevel="0" collapsed="false">
      <c r="A35" s="38" t="s">
        <v>60</v>
      </c>
      <c r="B35" s="39" t="s">
        <v>61</v>
      </c>
      <c r="C35" s="40" t="n">
        <f aca="false">(H30-H29)/H29</f>
        <v>0.939881160433415</v>
      </c>
      <c r="D35" s="39" t="s">
        <v>62</v>
      </c>
      <c r="E35" s="39"/>
      <c r="F35" s="39"/>
      <c r="G35" s="39"/>
      <c r="H35" s="39"/>
    </row>
    <row r="36" customFormat="false" ht="39.75" hidden="false" customHeight="true" outlineLevel="0" collapsed="false">
      <c r="A36" s="41" t="s">
        <v>63</v>
      </c>
      <c r="B36" s="42" t="s">
        <v>64</v>
      </c>
      <c r="C36" s="43" t="n">
        <f aca="false">H29/B30</f>
        <v>2.57747747747748</v>
      </c>
      <c r="D36" s="42" t="s">
        <v>65</v>
      </c>
      <c r="E36" s="42"/>
      <c r="F36" s="42"/>
      <c r="G36" s="42"/>
      <c r="H36" s="42"/>
    </row>
    <row r="37" customFormat="false" ht="39.75" hidden="false" customHeight="true" outlineLevel="0" collapsed="false">
      <c r="A37" s="44" t="s">
        <v>66</v>
      </c>
      <c r="B37" s="45" t="s">
        <v>67</v>
      </c>
      <c r="C37" s="37" t="n">
        <f aca="false">H31</f>
        <v>53780000</v>
      </c>
      <c r="D37" s="45" t="s">
        <v>68</v>
      </c>
      <c r="E37" s="45"/>
      <c r="F37" s="45"/>
      <c r="G37" s="45"/>
      <c r="H37" s="45"/>
    </row>
    <row r="39" customFormat="false" ht="15" hidden="false" customHeight="false" outlineLevel="0" collapsed="false">
      <c r="A39" s="5" t="s">
        <v>69</v>
      </c>
      <c r="B39" s="5"/>
      <c r="C39" s="5"/>
      <c r="D39" s="5"/>
      <c r="E39" s="5"/>
      <c r="F39" s="5"/>
      <c r="G39" s="5"/>
      <c r="H39" s="5"/>
    </row>
    <row r="40" customFormat="false" ht="18" hidden="false" customHeight="true" outlineLevel="0" collapsed="false">
      <c r="A40" s="6" t="s">
        <v>70</v>
      </c>
      <c r="B40" s="6" t="s">
        <v>71</v>
      </c>
      <c r="C40" s="6"/>
      <c r="D40" s="6"/>
      <c r="E40" s="6"/>
      <c r="F40" s="6"/>
      <c r="G40" s="6"/>
      <c r="H40" s="6"/>
    </row>
    <row r="41" customFormat="false" ht="54.75" hidden="false" customHeight="true" outlineLevel="0" collapsed="false">
      <c r="A41" s="46" t="s">
        <v>72</v>
      </c>
      <c r="B41" s="7" t="s">
        <v>73</v>
      </c>
      <c r="C41" s="7"/>
      <c r="D41" s="7"/>
      <c r="E41" s="7"/>
      <c r="F41" s="7"/>
      <c r="G41" s="7"/>
      <c r="H41" s="7"/>
    </row>
    <row r="42" customFormat="false" ht="54.75" hidden="false" customHeight="true" outlineLevel="0" collapsed="false">
      <c r="A42" s="47" t="s">
        <v>74</v>
      </c>
      <c r="B42" s="9" t="s">
        <v>75</v>
      </c>
      <c r="C42" s="9"/>
      <c r="D42" s="9"/>
      <c r="E42" s="9"/>
      <c r="F42" s="9"/>
      <c r="G42" s="9"/>
      <c r="H42" s="9"/>
    </row>
    <row r="43" customFormat="false" ht="54.75" hidden="false" customHeight="true" outlineLevel="0" collapsed="false">
      <c r="A43" s="46" t="s">
        <v>76</v>
      </c>
      <c r="B43" s="7" t="s">
        <v>77</v>
      </c>
      <c r="C43" s="7"/>
      <c r="D43" s="7"/>
      <c r="E43" s="7"/>
      <c r="F43" s="7"/>
      <c r="G43" s="7"/>
      <c r="H43" s="7"/>
    </row>
    <row r="44" customFormat="false" ht="54.75" hidden="false" customHeight="true" outlineLevel="0" collapsed="false">
      <c r="A44" s="47" t="s">
        <v>78</v>
      </c>
      <c r="B44" s="9" t="s">
        <v>79</v>
      </c>
      <c r="C44" s="9"/>
      <c r="D44" s="9"/>
      <c r="E44" s="9"/>
      <c r="F44" s="9"/>
      <c r="G44" s="9"/>
      <c r="H44" s="9"/>
    </row>
  </sheetData>
  <mergeCells count="25">
    <mergeCell ref="A1:H1"/>
    <mergeCell ref="A2:D2"/>
    <mergeCell ref="F2:H2"/>
    <mergeCell ref="A4:G4"/>
    <mergeCell ref="A12:H12"/>
    <mergeCell ref="A18:C18"/>
    <mergeCell ref="A19:G19"/>
    <mergeCell ref="A20:G20"/>
    <mergeCell ref="A21:G21"/>
    <mergeCell ref="A22:G22"/>
    <mergeCell ref="A23:G23"/>
    <mergeCell ref="A24:G24"/>
    <mergeCell ref="A25:G25"/>
    <mergeCell ref="A27:H27"/>
    <mergeCell ref="A33:H33"/>
    <mergeCell ref="D34:H34"/>
    <mergeCell ref="D35:H35"/>
    <mergeCell ref="D36:H36"/>
    <mergeCell ref="D37:H37"/>
    <mergeCell ref="A39:H39"/>
    <mergeCell ref="B40:H40"/>
    <mergeCell ref="B41:H41"/>
    <mergeCell ref="B42:H42"/>
    <mergeCell ref="B43:H43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20"/>
    <col collapsed="false" customWidth="true" hidden="false" outlineLevel="0" max="8" min="8" style="0" width="22"/>
  </cols>
  <sheetData>
    <row r="1" customFormat="false" ht="33.75" hidden="false" customHeight="true" outlineLevel="0" collapsed="false">
      <c r="A1" s="48" t="s">
        <v>80</v>
      </c>
      <c r="B1" s="48"/>
      <c r="C1" s="48"/>
      <c r="D1" s="48"/>
      <c r="E1" s="48"/>
      <c r="F1" s="48"/>
      <c r="G1" s="48"/>
      <c r="H1" s="48"/>
    </row>
    <row r="2" customFormat="false" ht="19.5" hidden="false" customHeight="true" outlineLevel="0" collapsed="false">
      <c r="A2" s="49" t="s">
        <v>81</v>
      </c>
      <c r="B2" s="49"/>
      <c r="C2" s="49"/>
      <c r="D2" s="49"/>
      <c r="E2" s="49"/>
      <c r="F2" s="49"/>
      <c r="G2" s="49"/>
      <c r="H2" s="49"/>
    </row>
    <row r="4" customFormat="false" ht="18" hidden="false" customHeight="true" outlineLevel="0" collapsed="false">
      <c r="A4" s="50" t="s">
        <v>82</v>
      </c>
      <c r="B4" s="50"/>
      <c r="C4" s="50" t="s">
        <v>83</v>
      </c>
      <c r="D4" s="50"/>
      <c r="E4" s="50" t="s">
        <v>84</v>
      </c>
      <c r="F4" s="50"/>
      <c r="G4" s="50" t="s">
        <v>85</v>
      </c>
      <c r="H4" s="50"/>
    </row>
    <row r="5" customFormat="false" ht="30" hidden="false" customHeight="true" outlineLevel="0" collapsed="false">
      <c r="A5" s="51" t="n">
        <f aca="false">'Análisis Costo-Beneficio'!H25</f>
        <v>57220000</v>
      </c>
      <c r="B5" s="51"/>
      <c r="C5" s="52" t="n">
        <f aca="false">'Análisis Costo-Beneficio'!B30</f>
        <v>22200000</v>
      </c>
      <c r="D5" s="52"/>
      <c r="E5" s="53" t="n">
        <f aca="false">'Análisis Costo-Beneficio'!C35</f>
        <v>0.939881160433415</v>
      </c>
      <c r="F5" s="53"/>
      <c r="G5" s="54" t="n">
        <f aca="false">'Análisis Costo-Beneficio'!C36</f>
        <v>2.57747747747748</v>
      </c>
      <c r="H5" s="54"/>
    </row>
    <row r="7" customFormat="false" ht="7.5" hidden="false" customHeight="true" outlineLevel="0" collapsed="false"/>
    <row r="8" customFormat="false" ht="15" hidden="false" customHeight="false" outlineLevel="0" collapsed="false">
      <c r="A8" s="5" t="s">
        <v>86</v>
      </c>
      <c r="B8" s="5"/>
      <c r="C8" s="5"/>
      <c r="D8" s="5"/>
      <c r="E8" s="5"/>
      <c r="F8" s="5"/>
      <c r="G8" s="5"/>
      <c r="H8" s="5"/>
    </row>
    <row r="9" customFormat="false" ht="18" hidden="false" customHeight="true" outlineLevel="0" collapsed="false">
      <c r="A9" s="6" t="s">
        <v>44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  <c r="G9" s="6" t="s">
        <v>87</v>
      </c>
      <c r="H9" s="6" t="s">
        <v>88</v>
      </c>
    </row>
    <row r="10" customFormat="false" ht="18" hidden="false" customHeight="true" outlineLevel="0" collapsed="false">
      <c r="A10" s="55" t="s">
        <v>89</v>
      </c>
      <c r="B10" s="30" t="n">
        <f aca="false">'Análisis Costo-Beneficio'!H25</f>
        <v>57220000</v>
      </c>
      <c r="C10" s="30" t="s">
        <v>90</v>
      </c>
      <c r="D10" s="30" t="s">
        <v>90</v>
      </c>
      <c r="E10" s="30" t="s">
        <v>90</v>
      </c>
      <c r="F10" s="30" t="s">
        <v>90</v>
      </c>
      <c r="G10" s="29" t="n">
        <f aca="false">'Análisis Costo-Beneficio'!H25</f>
        <v>57220000</v>
      </c>
      <c r="H10" s="56" t="s">
        <v>91</v>
      </c>
    </row>
    <row r="11" customFormat="false" ht="18" hidden="false" customHeight="true" outlineLevel="0" collapsed="false">
      <c r="A11" s="57" t="s">
        <v>92</v>
      </c>
      <c r="B11" s="33" t="n">
        <f aca="false">'Análisis Costo-Beneficio'!B30</f>
        <v>22200000</v>
      </c>
      <c r="C11" s="33" t="n">
        <f aca="false">'Análisis Costo-Beneficio'!B30</f>
        <v>22200000</v>
      </c>
      <c r="D11" s="33" t="n">
        <f aca="false">'Análisis Costo-Beneficio'!B30</f>
        <v>22200000</v>
      </c>
      <c r="E11" s="33" t="n">
        <f aca="false">'Análisis Costo-Beneficio'!B30</f>
        <v>22200000</v>
      </c>
      <c r="F11" s="33" t="n">
        <f aca="false">'Análisis Costo-Beneficio'!B30</f>
        <v>22200000</v>
      </c>
      <c r="G11" s="34" t="n">
        <f aca="false">'Análisis Costo-Beneficio'!H30</f>
        <v>111000000</v>
      </c>
      <c r="H11" s="39" t="s">
        <v>93</v>
      </c>
    </row>
    <row r="12" customFormat="false" ht="18" hidden="false" customHeight="true" outlineLevel="0" collapsed="false">
      <c r="A12" s="35" t="s">
        <v>54</v>
      </c>
      <c r="B12" s="36" t="n">
        <f aca="false">B11-B10</f>
        <v>-35020000</v>
      </c>
      <c r="C12" s="36" t="n">
        <f aca="false">C11-C10</f>
        <v>22200000</v>
      </c>
      <c r="D12" s="36" t="n">
        <f aca="false">D11-D10</f>
        <v>22200000</v>
      </c>
      <c r="E12" s="36" t="n">
        <f aca="false">E11-E10</f>
        <v>22200000</v>
      </c>
      <c r="F12" s="36" t="n">
        <f aca="false">F11-F10</f>
        <v>22200000</v>
      </c>
      <c r="G12" s="37" t="n">
        <f aca="false">SUM(B12:F12)</f>
        <v>53780000</v>
      </c>
      <c r="H12" s="45" t="s">
        <v>94</v>
      </c>
    </row>
    <row r="13" customFormat="false" ht="18" hidden="false" customHeight="true" outlineLevel="0" collapsed="false">
      <c r="A13" s="58" t="s">
        <v>95</v>
      </c>
      <c r="B13" s="59" t="n">
        <f aca="false">B12</f>
        <v>-35020000</v>
      </c>
      <c r="C13" s="59" t="n">
        <f aca="false">C12+B13</f>
        <v>-12820000</v>
      </c>
      <c r="D13" s="59" t="n">
        <f aca="false">D12+C13</f>
        <v>9380000</v>
      </c>
      <c r="E13" s="59" t="n">
        <f aca="false">E12+D13</f>
        <v>31580000</v>
      </c>
      <c r="F13" s="59" t="n">
        <f aca="false">F12+E13</f>
        <v>53780000</v>
      </c>
      <c r="G13" s="60" t="n">
        <f aca="false">F13</f>
        <v>53780000</v>
      </c>
      <c r="H13" s="42" t="s">
        <v>96</v>
      </c>
    </row>
    <row r="15" customFormat="false" ht="15" hidden="false" customHeight="false" outlineLevel="0" collapsed="false">
      <c r="A15" s="5" t="s">
        <v>97</v>
      </c>
      <c r="B15" s="5"/>
      <c r="C15" s="5"/>
      <c r="D15" s="5"/>
      <c r="E15" s="5"/>
      <c r="F15" s="5"/>
      <c r="G15" s="5"/>
      <c r="H15" s="5"/>
    </row>
    <row r="16" customFormat="false" ht="18" hidden="false" customHeight="true" outlineLevel="0" collapsed="false">
      <c r="A16" s="13" t="s">
        <v>98</v>
      </c>
      <c r="B16" s="13" t="s">
        <v>46</v>
      </c>
      <c r="C16" s="13" t="s">
        <v>47</v>
      </c>
      <c r="D16" s="13" t="s">
        <v>48</v>
      </c>
      <c r="E16" s="13" t="s">
        <v>49</v>
      </c>
      <c r="F16" s="13" t="s">
        <v>50</v>
      </c>
      <c r="G16" s="13" t="s">
        <v>99</v>
      </c>
      <c r="H16" s="13" t="s">
        <v>100</v>
      </c>
    </row>
    <row r="17" customFormat="false" ht="18" hidden="false" customHeight="true" outlineLevel="0" collapsed="false">
      <c r="A17" s="61" t="s">
        <v>101</v>
      </c>
      <c r="B17" s="17" t="n">
        <f aca="false">'Análisis Costo-Beneficio'!H25</f>
        <v>57220000</v>
      </c>
      <c r="C17" s="17" t="n">
        <v>0</v>
      </c>
      <c r="D17" s="17" t="n">
        <v>0</v>
      </c>
      <c r="E17" s="17" t="n">
        <v>0</v>
      </c>
      <c r="F17" s="17" t="n">
        <v>0</v>
      </c>
      <c r="G17" s="18" t="n">
        <f aca="false">SUM(B17:F17)</f>
        <v>57220000</v>
      </c>
      <c r="H17" s="62"/>
    </row>
    <row r="18" customFormat="false" ht="18" hidden="false" customHeight="true" outlineLevel="0" collapsed="false">
      <c r="A18" s="63" t="s">
        <v>102</v>
      </c>
      <c r="B18" s="64" t="n">
        <v>1800000</v>
      </c>
      <c r="C18" s="64" t="n">
        <v>1800000</v>
      </c>
      <c r="D18" s="64" t="n">
        <v>1800000</v>
      </c>
      <c r="E18" s="64" t="n">
        <v>1800000</v>
      </c>
      <c r="F18" s="64" t="n">
        <v>1800000</v>
      </c>
      <c r="G18" s="23" t="n">
        <f aca="false">SUM(B18:F18)</f>
        <v>9000000</v>
      </c>
      <c r="H18" s="65"/>
    </row>
    <row r="19" customFormat="false" ht="19.5" hidden="false" customHeight="true" outlineLevel="0" collapsed="false">
      <c r="A19" s="3" t="s">
        <v>103</v>
      </c>
      <c r="B19" s="3"/>
      <c r="C19" s="3"/>
      <c r="D19" s="3"/>
      <c r="E19" s="3"/>
      <c r="F19" s="3"/>
      <c r="G19" s="66" t="n">
        <f aca="false">G18-G17</f>
        <v>-48220000</v>
      </c>
      <c r="H19" s="67" t="s">
        <v>104</v>
      </c>
    </row>
    <row r="21" customFormat="false" ht="15" hidden="false" customHeight="false" outlineLevel="0" collapsed="false">
      <c r="A21" s="5" t="s">
        <v>105</v>
      </c>
      <c r="B21" s="5"/>
      <c r="C21" s="5"/>
      <c r="D21" s="5"/>
      <c r="E21" s="5"/>
      <c r="F21" s="5"/>
      <c r="G21" s="5"/>
      <c r="H21" s="5"/>
    </row>
    <row r="22" customFormat="false" ht="18" hidden="false" customHeight="true" outlineLevel="0" collapsed="false">
      <c r="A22" s="13" t="s">
        <v>106</v>
      </c>
      <c r="B22" s="13" t="s">
        <v>107</v>
      </c>
      <c r="C22" s="13" t="s">
        <v>108</v>
      </c>
      <c r="D22" s="13" t="s">
        <v>109</v>
      </c>
      <c r="E22" s="13" t="s">
        <v>110</v>
      </c>
      <c r="F22" s="13"/>
      <c r="G22" s="13"/>
      <c r="H22" s="13"/>
    </row>
    <row r="23" customFormat="false" ht="42" hidden="false" customHeight="true" outlineLevel="0" collapsed="false">
      <c r="A23" s="12" t="s">
        <v>111</v>
      </c>
      <c r="B23" s="68" t="s">
        <v>112</v>
      </c>
      <c r="C23" s="12" t="s">
        <v>113</v>
      </c>
      <c r="D23" s="69" t="s">
        <v>114</v>
      </c>
      <c r="E23" s="56" t="s">
        <v>115</v>
      </c>
      <c r="F23" s="56"/>
      <c r="G23" s="56"/>
      <c r="H23" s="56"/>
    </row>
    <row r="24" customFormat="false" ht="42" hidden="false" customHeight="true" outlineLevel="0" collapsed="false">
      <c r="A24" s="10" t="s">
        <v>116</v>
      </c>
      <c r="B24" s="41" t="s">
        <v>117</v>
      </c>
      <c r="C24" s="10" t="s">
        <v>118</v>
      </c>
      <c r="D24" s="70" t="s">
        <v>119</v>
      </c>
      <c r="E24" s="42" t="s">
        <v>120</v>
      </c>
      <c r="F24" s="42"/>
      <c r="G24" s="42"/>
      <c r="H24" s="42"/>
    </row>
    <row r="25" customFormat="false" ht="42" hidden="false" customHeight="true" outlineLevel="0" collapsed="false">
      <c r="A25" s="12" t="s">
        <v>121</v>
      </c>
      <c r="B25" s="68" t="s">
        <v>122</v>
      </c>
      <c r="C25" s="71" t="s">
        <v>123</v>
      </c>
      <c r="D25" s="69" t="s">
        <v>124</v>
      </c>
      <c r="E25" s="56" t="s">
        <v>125</v>
      </c>
      <c r="F25" s="56"/>
      <c r="G25" s="56"/>
      <c r="H25" s="56"/>
    </row>
    <row r="26" customFormat="false" ht="42" hidden="false" customHeight="true" outlineLevel="0" collapsed="false">
      <c r="A26" s="10" t="s">
        <v>126</v>
      </c>
      <c r="B26" s="41" t="s">
        <v>127</v>
      </c>
      <c r="C26" s="10" t="s">
        <v>118</v>
      </c>
      <c r="D26" s="70" t="s">
        <v>128</v>
      </c>
      <c r="E26" s="42" t="s">
        <v>129</v>
      </c>
      <c r="F26" s="42"/>
      <c r="G26" s="42"/>
      <c r="H26" s="42"/>
    </row>
    <row r="27" customFormat="false" ht="42" hidden="false" customHeight="true" outlineLevel="0" collapsed="false">
      <c r="A27" s="8" t="s">
        <v>130</v>
      </c>
      <c r="B27" s="38" t="s">
        <v>131</v>
      </c>
      <c r="C27" s="8" t="s">
        <v>132</v>
      </c>
      <c r="D27" s="72" t="s">
        <v>133</v>
      </c>
      <c r="E27" s="39" t="s">
        <v>134</v>
      </c>
      <c r="F27" s="39"/>
      <c r="G27" s="39"/>
      <c r="H27" s="39"/>
    </row>
  </sheetData>
  <mergeCells count="2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8:H8"/>
    <mergeCell ref="A15:H15"/>
    <mergeCell ref="A19:F19"/>
    <mergeCell ref="A21:H21"/>
    <mergeCell ref="E22:H22"/>
    <mergeCell ref="E23:H23"/>
    <mergeCell ref="E24:H24"/>
    <mergeCell ref="E25:H25"/>
    <mergeCell ref="E26:H26"/>
    <mergeCell ref="E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2026-06-23T22:59:54Z</dcterms:created>
  <dc:creator>openpyxl</dc:creator>
  <dc:description/>
  <dc:language>en-US</dc:language>
  <cp:lastModifiedBy/>
  <dcterms:modified xsi:type="dcterms:W3CDTF">2026-06-23T22:59:54Z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